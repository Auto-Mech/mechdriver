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589148_polimi_it/Documents/Luna/Universita/RICERCA/AROMATICS/AAA_CLASSES/"/>
    </mc:Choice>
  </mc:AlternateContent>
  <xr:revisionPtr revIDLastSave="9" documentId="8_{A2C5B27C-B81F-3C47-B89F-9756FACAF47A}" xr6:coauthVersionLast="47" xr6:coauthVersionMax="47" xr10:uidLastSave="{29103931-4A85-644C-9527-CE65F450BD44}"/>
  <bookViews>
    <workbookView xWindow="35700" yWindow="1960" windowWidth="26440" windowHeight="15440" xr2:uid="{E8638634-A92E-0641-A427-DAE3A97B8460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5" i="1"/>
  <c r="D10" i="1"/>
  <c r="D7" i="1"/>
</calcChain>
</file>

<file path=xl/sharedStrings.xml><?xml version="1.0" encoding="utf-8"?>
<sst xmlns="http://schemas.openxmlformats.org/spreadsheetml/2006/main" count="45" uniqueCount="32">
  <si>
    <t>SPECIES</t>
  </si>
  <si>
    <t>REACTIONTYPE</t>
  </si>
  <si>
    <t>SPECIESTYPE</t>
  </si>
  <si>
    <t>A</t>
  </si>
  <si>
    <t>n</t>
  </si>
  <si>
    <t>EA</t>
  </si>
  <si>
    <t>C10H7CH2</t>
  </si>
  <si>
    <t>A1CH2-RSR</t>
  </si>
  <si>
    <t>REC_H_EL_CH3</t>
  </si>
  <si>
    <t>REFSPECIES</t>
  </si>
  <si>
    <t>C10H6CH3</t>
  </si>
  <si>
    <t>A1,CH3-R</t>
  </si>
  <si>
    <t>ISOM_CC</t>
  </si>
  <si>
    <t>C10H7CH3</t>
  </si>
  <si>
    <t>A1-M</t>
  </si>
  <si>
    <t>CORRECTIONSOURCE</t>
  </si>
  <si>
    <t>COMMENT</t>
  </si>
  <si>
    <t>CALC</t>
  </si>
  <si>
    <t>LUMP</t>
  </si>
  <si>
    <t>A1,CH3-M</t>
  </si>
  <si>
    <t>HABS_OH</t>
  </si>
  <si>
    <t>BONDFISSION_CH</t>
  </si>
  <si>
    <t>EST</t>
  </si>
  <si>
    <t>HABS_CH3</t>
  </si>
  <si>
    <t>IPSO_O</t>
  </si>
  <si>
    <t xml:space="preserve"> IPSO_O</t>
  </si>
  <si>
    <t>C7H8</t>
  </si>
  <si>
    <t>GEOM</t>
  </si>
  <si>
    <t>CALC, LUMP</t>
  </si>
  <si>
    <t>C10H7CH3; C10H6CH3</t>
  </si>
  <si>
    <t>HABS_H; HABS_OH; HABS_O2; HABS_HO2; HABS_CH3</t>
  </si>
  <si>
    <t>ADD_O_ISC_DECO; ADD_O_ISC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</si>
</sst>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B77F9-A4C6-5C4D-8919-CBF60A41AEFB}">
  <dimension ref="A1:I16"/>
  <sheetViews>
    <sheetView tabSelected="1" workbookViewId="0">
      <selection activeCell="C17" sqref="C17"/>
    </sheetView>
  </sheetViews>
  <sheetFormatPr baseColWidth="10" defaultRowHeight="16" x14ac:dyDescent="0.2"/>
  <cols>
    <col min="1" max="1" width="20.83203125" bestFit="1" customWidth="1"/>
    <col min="2" max="2" width="11.83203125" bestFit="1" customWidth="1"/>
    <col min="3" max="3" width="45.83203125" bestFit="1" customWidth="1"/>
    <col min="8" max="8" width="19.6640625" bestFit="1" customWidth="1"/>
  </cols>
  <sheetData>
    <row r="1" spans="1:9" x14ac:dyDescent="0.2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9</v>
      </c>
      <c r="H1" t="s">
        <v>15</v>
      </c>
      <c r="I1" t="s">
        <v>16</v>
      </c>
    </row>
    <row r="2" spans="1:9" x14ac:dyDescent="0.2">
      <c r="A2" t="s">
        <v>6</v>
      </c>
      <c r="B2" t="s">
        <v>7</v>
      </c>
      <c r="C2" t="s">
        <v>8</v>
      </c>
      <c r="D2" s="1">
        <v>0.5</v>
      </c>
      <c r="E2">
        <v>0</v>
      </c>
      <c r="F2">
        <v>0</v>
      </c>
      <c r="H2" t="s">
        <v>22</v>
      </c>
    </row>
    <row r="3" spans="1:9" x14ac:dyDescent="0.2">
      <c r="D3" s="1"/>
    </row>
    <row r="4" spans="1:9" x14ac:dyDescent="0.2">
      <c r="D4" s="1"/>
    </row>
    <row r="5" spans="1:9" x14ac:dyDescent="0.2">
      <c r="A5" t="s">
        <v>10</v>
      </c>
      <c r="B5" t="s">
        <v>19</v>
      </c>
      <c r="C5" t="s">
        <v>21</v>
      </c>
      <c r="D5" s="1">
        <f>5/7</f>
        <v>0.7142857142857143</v>
      </c>
      <c r="E5">
        <v>0</v>
      </c>
      <c r="F5">
        <v>0</v>
      </c>
      <c r="H5" t="s">
        <v>18</v>
      </c>
    </row>
    <row r="6" spans="1:9" x14ac:dyDescent="0.2">
      <c r="A6" t="s">
        <v>10</v>
      </c>
      <c r="B6" t="s">
        <v>11</v>
      </c>
      <c r="C6" t="s">
        <v>12</v>
      </c>
      <c r="D6" s="1">
        <v>1</v>
      </c>
      <c r="E6">
        <v>0</v>
      </c>
      <c r="F6">
        <v>0</v>
      </c>
    </row>
    <row r="7" spans="1:9" x14ac:dyDescent="0.2">
      <c r="A7" t="s">
        <v>29</v>
      </c>
      <c r="B7" t="s">
        <v>14</v>
      </c>
      <c r="C7" t="s">
        <v>30</v>
      </c>
      <c r="D7" s="1">
        <f>7/10</f>
        <v>0.7</v>
      </c>
      <c r="E7">
        <v>0</v>
      </c>
      <c r="F7">
        <v>0</v>
      </c>
      <c r="H7" t="s">
        <v>28</v>
      </c>
    </row>
    <row r="8" spans="1:9" x14ac:dyDescent="0.2">
      <c r="D8" s="1"/>
    </row>
    <row r="9" spans="1:9" x14ac:dyDescent="0.2">
      <c r="D9" s="1"/>
    </row>
    <row r="10" spans="1:9" x14ac:dyDescent="0.2">
      <c r="A10" t="s">
        <v>13</v>
      </c>
      <c r="B10" t="s">
        <v>19</v>
      </c>
      <c r="C10" t="s">
        <v>20</v>
      </c>
      <c r="D10" s="1">
        <f>1/2.5</f>
        <v>0.4</v>
      </c>
      <c r="E10">
        <v>0</v>
      </c>
      <c r="F10">
        <v>0</v>
      </c>
      <c r="H10" t="s">
        <v>17</v>
      </c>
    </row>
    <row r="11" spans="1:9" x14ac:dyDescent="0.2">
      <c r="A11" t="s">
        <v>13</v>
      </c>
      <c r="B11" t="s">
        <v>19</v>
      </c>
      <c r="C11" t="s">
        <v>23</v>
      </c>
      <c r="D11" s="1">
        <f>1/1.5</f>
        <v>0.66666666666666663</v>
      </c>
      <c r="E11">
        <v>0</v>
      </c>
      <c r="F11">
        <v>0</v>
      </c>
      <c r="H11" t="s">
        <v>17</v>
      </c>
    </row>
    <row r="14" spans="1:9" x14ac:dyDescent="0.2">
      <c r="A14" t="s">
        <v>13</v>
      </c>
      <c r="B14" t="s">
        <v>14</v>
      </c>
      <c r="C14" t="s">
        <v>25</v>
      </c>
      <c r="D14">
        <v>0.5</v>
      </c>
      <c r="E14">
        <v>0</v>
      </c>
      <c r="F14">
        <v>1000</v>
      </c>
      <c r="H14" t="s">
        <v>22</v>
      </c>
    </row>
    <row r="15" spans="1:9" x14ac:dyDescent="0.2">
      <c r="A15" t="s">
        <v>13</v>
      </c>
      <c r="B15" t="s">
        <v>19</v>
      </c>
      <c r="C15" t="s">
        <v>24</v>
      </c>
      <c r="D15">
        <v>0.5</v>
      </c>
      <c r="E15">
        <v>0</v>
      </c>
      <c r="F15">
        <v>0</v>
      </c>
      <c r="H15" t="s">
        <v>27</v>
      </c>
    </row>
    <row r="16" spans="1:9" x14ac:dyDescent="0.2">
      <c r="A16" t="s">
        <v>13</v>
      </c>
      <c r="B16" t="s">
        <v>14</v>
      </c>
      <c r="C16" t="s">
        <v>31</v>
      </c>
      <c r="D16">
        <v>0.5</v>
      </c>
      <c r="E16">
        <v>0</v>
      </c>
      <c r="F16">
        <v>0</v>
      </c>
      <c r="G16" t="s">
        <v>26</v>
      </c>
      <c r="H16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Pratali Maffei</dc:creator>
  <cp:lastModifiedBy>Luna Pratali Maffei</cp:lastModifiedBy>
  <dcterms:created xsi:type="dcterms:W3CDTF">2025-04-07T12:32:03Z</dcterms:created>
  <dcterms:modified xsi:type="dcterms:W3CDTF">2025-04-07T13:42:54Z</dcterms:modified>
</cp:coreProperties>
</file>